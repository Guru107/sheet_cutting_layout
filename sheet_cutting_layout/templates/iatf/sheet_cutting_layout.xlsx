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1ES205450N" sheetId="1" r:id="rId5"/>
  </sheets>
  <definedNames/>
  <calcPr/>
</workbook>
</file>

<file path=xl/sharedStrings.xml><?xml version="1.0" encoding="utf-8"?>
<sst xmlns="http://schemas.openxmlformats.org/spreadsheetml/2006/main" count="115" uniqueCount="59">
  <si>
    <t xml:space="preserve"> </t>
  </si>
  <si>
    <t>TRIKAYA COATINGS Pvt. Ltd. Nashik</t>
  </si>
  <si>
    <t>DOC. NO.:  FRM/PRD/15</t>
  </si>
  <si>
    <t>REV. NO.: 01</t>
  </si>
  <si>
    <t>REV DATE.: 03.07.2022</t>
  </si>
  <si>
    <t>PAGE: 01 OF 01</t>
  </si>
  <si>
    <t>Sheet Cutting Layout No:-</t>
  </si>
  <si>
    <t>Part Name:PANO BRKT ASSY GRIP MTG FRT LH</t>
  </si>
  <si>
    <t>Part Number:-0101ES205450N</t>
  </si>
  <si>
    <t xml:space="preserve">Project </t>
  </si>
  <si>
    <t>S225</t>
  </si>
  <si>
    <t>Wt /sheet</t>
  </si>
  <si>
    <t>Raw Material Grade</t>
  </si>
  <si>
    <t>HSLA-340</t>
  </si>
  <si>
    <t>BOM</t>
  </si>
  <si>
    <t>Gross Wt</t>
  </si>
  <si>
    <t>F.g Wt</t>
  </si>
  <si>
    <t>Scrap Wt</t>
  </si>
  <si>
    <t>Nos of part</t>
  </si>
  <si>
    <t>Total Wt</t>
  </si>
  <si>
    <t xml:space="preserve">Sheet Thickness:-                                     </t>
  </si>
  <si>
    <t>mm</t>
  </si>
  <si>
    <t>0101ES205450N</t>
  </si>
  <si>
    <t>Sheet size (Width x Length)</t>
  </si>
  <si>
    <t>END PIECE</t>
  </si>
  <si>
    <t>Weight of Strip</t>
  </si>
  <si>
    <t>kgs</t>
  </si>
  <si>
    <t xml:space="preserve">Strip Size:-                                                   </t>
  </si>
  <si>
    <t xml:space="preserve">Part Per Strip:-                                          </t>
  </si>
  <si>
    <t>Nos</t>
  </si>
  <si>
    <t>II</t>
  </si>
  <si>
    <t xml:space="preserve">End Piece 2 Size :-                                      </t>
  </si>
  <si>
    <t>No. of strips</t>
  </si>
  <si>
    <t>Used For Part Number:-</t>
  </si>
  <si>
    <t xml:space="preserve">Part Per Sheet:-                                         </t>
  </si>
  <si>
    <t xml:space="preserve">Strip Size(Width x Length):-                                                   </t>
  </si>
  <si>
    <t xml:space="preserve">Gross Weight of a part:-                        </t>
  </si>
  <si>
    <t>kg</t>
  </si>
  <si>
    <t xml:space="preserve">Part Per Strip:-                                         </t>
  </si>
  <si>
    <t xml:space="preserve">Net Wt. of a finished Part:-                                 </t>
  </si>
  <si>
    <t xml:space="preserve">Scrap Weight of a Part:-                           </t>
  </si>
  <si>
    <t>I</t>
  </si>
  <si>
    <t xml:space="preserve">End Piece 1 Size :-                                     </t>
  </si>
  <si>
    <t>End Piece 2-A Size :-</t>
  </si>
  <si>
    <t>III</t>
  </si>
  <si>
    <t xml:space="preserve">End Piece 3 Size :-                                      </t>
  </si>
  <si>
    <t>End Piece 2-B Size :-</t>
  </si>
  <si>
    <t xml:space="preserve">End Piece 1 Size :-                                      </t>
  </si>
  <si>
    <t>End Piece 1-A Size :-</t>
  </si>
  <si>
    <t>End Piece 3-A Size :-</t>
  </si>
  <si>
    <t>End Piece 1-B Size :-</t>
  </si>
  <si>
    <t>End Piece 3-B Size :-</t>
  </si>
  <si>
    <t>NOTE:- Net weight of the finished part is taken practically during the preparation of this document.</t>
  </si>
  <si>
    <t xml:space="preserve">Note- </t>
  </si>
  <si>
    <t>Prepared By
 Engineering Dept /
 Production Dept .</t>
  </si>
  <si>
    <t>Checked  By
 Production Dept</t>
  </si>
  <si>
    <t>Verrified By 
Commercial / BDD</t>
  </si>
  <si>
    <t>BOM Updated By
 Purchase Dept</t>
  </si>
  <si>
    <t>Released By    
Management Rep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</si>
</sst>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00"/>
    <numFmt numFmtId="166" formatCode="0.0000"/>
    <numFmt numFmtId="167" formatCode="0.000000"/>
    <numFmt numFmtId="168" formatCode="0.0000000"/>
  </numFmts>
  <fonts count="8">
    <font>
      <sz val="11.0"/>
      <color theme="1"/>
      <name val="Calibri"/>
      <scheme val="minor"/>
    </font>
    <font>
      <b/>
      <sz val="10.0"/>
      <color theme="1"/>
      <name val="Arial"/>
    </font>
    <font>
      <b/>
      <sz val="14.0"/>
      <color theme="1"/>
      <name val="Calibri"/>
    </font>
    <font/>
    <font>
      <b/>
      <sz val="1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53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5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5" numFmtId="0" xfId="0" applyAlignment="1" applyBorder="1" applyFont="1">
      <alignment horizontal="left" vertical="center"/>
    </xf>
    <xf borderId="16" fillId="0" fontId="3" numFmtId="0" xfId="0" applyBorder="1" applyFont="1"/>
    <xf borderId="17" fillId="0" fontId="3" numFmtId="0" xfId="0" applyBorder="1" applyFont="1"/>
    <xf borderId="18" fillId="0" fontId="6" numFmtId="0" xfId="0" applyAlignment="1" applyBorder="1" applyFont="1">
      <alignment horizontal="left" vertical="center"/>
    </xf>
    <xf borderId="19" fillId="0" fontId="3" numFmtId="0" xfId="0" applyBorder="1" applyFont="1"/>
    <xf borderId="20" fillId="0" fontId="3" numFmtId="0" xfId="0" applyBorder="1" applyFont="1"/>
    <xf borderId="21" fillId="0" fontId="6" numFmtId="0" xfId="0" applyAlignment="1" applyBorder="1" applyFont="1">
      <alignment horizontal="left" shrinkToFit="0" vertical="top" wrapText="1"/>
    </xf>
    <xf borderId="22" fillId="0" fontId="3" numFmtId="0" xfId="0" applyBorder="1" applyFont="1"/>
    <xf borderId="19" fillId="0" fontId="6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23" fillId="0" fontId="6" numFmtId="0" xfId="0" applyBorder="1" applyFont="1"/>
    <xf borderId="0" fillId="0" fontId="6" numFmtId="0" xfId="0" applyFont="1"/>
    <xf borderId="6" fillId="0" fontId="6" numFmtId="0" xfId="0" applyAlignment="1" applyBorder="1" applyFont="1">
      <alignment horizontal="left"/>
    </xf>
    <xf borderId="0" fillId="0" fontId="6" numFmtId="0" xfId="0" applyAlignment="1" applyFont="1">
      <alignment horizontal="center" vertical="top"/>
    </xf>
    <xf borderId="24" fillId="0" fontId="5" numFmtId="0" xfId="0" applyAlignment="1" applyBorder="1" applyFont="1">
      <alignment horizontal="center"/>
    </xf>
    <xf borderId="25" fillId="0" fontId="3" numFmtId="0" xfId="0" applyBorder="1" applyFont="1"/>
    <xf borderId="26" fillId="0" fontId="5" numFmtId="0" xfId="0" applyAlignment="1" applyBorder="1" applyFont="1">
      <alignment horizontal="center"/>
    </xf>
    <xf borderId="27" fillId="0" fontId="5" numFmtId="2" xfId="0" applyAlignment="1" applyBorder="1" applyFont="1" applyNumberFormat="1">
      <alignment horizontal="center"/>
    </xf>
    <xf borderId="28" fillId="0" fontId="3" numFmtId="0" xfId="0" applyBorder="1" applyFont="1"/>
    <xf borderId="29" fillId="0" fontId="6" numFmtId="0" xfId="0" applyAlignment="1" applyBorder="1" applyFont="1">
      <alignment horizontal="center"/>
    </xf>
    <xf borderId="30" fillId="0" fontId="3" numFmtId="0" xfId="0" applyBorder="1" applyFont="1"/>
    <xf borderId="31" fillId="0" fontId="6" numFmtId="0" xfId="0" applyAlignment="1" applyBorder="1" applyFont="1">
      <alignment horizontal="center" vertical="center"/>
    </xf>
    <xf borderId="32" fillId="0" fontId="6" numFmtId="0" xfId="0" applyAlignment="1" applyBorder="1" applyFont="1">
      <alignment vertical="center"/>
    </xf>
    <xf borderId="5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33" fillId="0" fontId="5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5" numFmtId="0" xfId="0" applyAlignment="1" applyBorder="1" applyFont="1">
      <alignment horizontal="center" shrinkToFit="0" vertical="center" wrapText="1"/>
    </xf>
    <xf borderId="36" fillId="0" fontId="5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37" fillId="0" fontId="6" numFmtId="0" xfId="0" applyAlignment="1" applyBorder="1" applyFont="1">
      <alignment horizontal="center" vertical="center"/>
    </xf>
    <xf borderId="38" fillId="0" fontId="6" numFmtId="0" xfId="0" applyAlignment="1" applyBorder="1" applyFont="1">
      <alignment vertical="center"/>
    </xf>
    <xf borderId="38" fillId="0" fontId="6" numFmtId="0" xfId="0" applyAlignment="1" applyBorder="1" applyFont="1">
      <alignment horizontal="center"/>
    </xf>
    <xf borderId="38" fillId="0" fontId="6" numFmtId="164" xfId="0" applyAlignment="1" applyBorder="1" applyFont="1" applyNumberFormat="1">
      <alignment horizontal="center"/>
    </xf>
    <xf borderId="39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left" shrinkToFit="0" vertical="center" wrapText="1"/>
    </xf>
    <xf borderId="40" fillId="0" fontId="3" numFmtId="0" xfId="0" applyBorder="1" applyFont="1"/>
    <xf borderId="38" fillId="0" fontId="6" numFmtId="165" xfId="0" applyAlignment="1" applyBorder="1" applyFont="1" applyNumberFormat="1">
      <alignment vertical="center"/>
    </xf>
    <xf borderId="38" fillId="0" fontId="6" numFmtId="2" xfId="0" applyAlignment="1" applyBorder="1" applyFont="1" applyNumberFormat="1">
      <alignment vertical="center"/>
    </xf>
    <xf borderId="38" fillId="0" fontId="5" numFmtId="0" xfId="0" applyAlignment="1" applyBorder="1" applyFont="1">
      <alignment horizontal="center" vertical="center"/>
    </xf>
    <xf borderId="39" fillId="0" fontId="5" numFmtId="165" xfId="0" applyAlignment="1" applyBorder="1" applyFont="1" applyNumberFormat="1">
      <alignment vertical="center"/>
    </xf>
    <xf borderId="11" fillId="0" fontId="6" numFmtId="0" xfId="0" applyAlignment="1" applyBorder="1" applyFont="1">
      <alignment horizontal="left" vertical="center"/>
    </xf>
    <xf borderId="38" fillId="0" fontId="6" numFmtId="166" xfId="0" applyAlignment="1" applyBorder="1" applyFont="1" applyNumberFormat="1">
      <alignment vertical="center"/>
    </xf>
    <xf borderId="0" fillId="0" fontId="6" numFmtId="167" xfId="0" applyFont="1" applyNumberFormat="1"/>
    <xf borderId="38" fillId="0" fontId="6" numFmtId="2" xfId="0" applyAlignment="1" applyBorder="1" applyFont="1" applyNumberFormat="1">
      <alignment horizontal="center"/>
    </xf>
    <xf borderId="39" fillId="0" fontId="6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 vertical="center"/>
    </xf>
    <xf borderId="39" fillId="0" fontId="5" numFmtId="2" xfId="0" applyAlignment="1" applyBorder="1" applyFont="1" applyNumberFormat="1">
      <alignment vertical="center"/>
    </xf>
    <xf borderId="38" fillId="2" fontId="6" numFmtId="0" xfId="0" applyAlignment="1" applyBorder="1" applyFill="1" applyFont="1">
      <alignment horizontal="center"/>
    </xf>
    <xf borderId="41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32" fillId="0" fontId="6" numFmtId="0" xfId="0" applyAlignment="1" applyBorder="1" applyFont="1">
      <alignment horizontal="center"/>
    </xf>
    <xf borderId="32" fillId="0" fontId="6" numFmtId="0" xfId="0" applyAlignment="1" applyBorder="1" applyFont="1">
      <alignment horizontal="center" vertical="center"/>
    </xf>
    <xf borderId="42" fillId="0" fontId="6" numFmtId="0" xfId="0" applyAlignment="1" applyBorder="1" applyFont="1">
      <alignment horizontal="center" vertical="center"/>
    </xf>
    <xf borderId="43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1" fillId="0" fontId="6" numFmtId="0" xfId="0" applyAlignment="1" applyBorder="1" applyFont="1">
      <alignment horizontal="center" shrinkToFit="0" vertical="center" wrapText="1"/>
    </xf>
    <xf borderId="43" fillId="0" fontId="6" numFmtId="2" xfId="0" applyAlignment="1" applyBorder="1" applyFont="1" applyNumberFormat="1">
      <alignment vertical="center"/>
    </xf>
    <xf borderId="0" fillId="0" fontId="6" numFmtId="2" xfId="0" applyFont="1" applyNumberFormat="1"/>
    <xf borderId="0" fillId="0" fontId="6" numFmtId="168" xfId="0" applyFont="1" applyNumberFormat="1"/>
    <xf borderId="38" fillId="3" fontId="6" numFmtId="0" xfId="0" applyAlignment="1" applyBorder="1" applyFill="1" applyFont="1">
      <alignment horizontal="center"/>
    </xf>
    <xf borderId="39" fillId="3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38" fillId="0" fontId="6" numFmtId="165" xfId="0" applyAlignment="1" applyBorder="1" applyFont="1" applyNumberFormat="1">
      <alignment horizontal="center"/>
    </xf>
    <xf borderId="39" fillId="0" fontId="6" numFmtId="2" xfId="0" applyAlignment="1" applyBorder="1" applyFont="1" applyNumberFormat="1">
      <alignment horizontal="center"/>
    </xf>
    <xf borderId="0" fillId="0" fontId="6" numFmtId="166" xfId="0" applyAlignment="1" applyFont="1" applyNumberFormat="1">
      <alignment horizontal="center"/>
    </xf>
    <xf borderId="35" fillId="0" fontId="6" numFmtId="0" xfId="0" applyAlignment="1" applyBorder="1" applyFont="1">
      <alignment horizontal="center"/>
    </xf>
    <xf borderId="11" fillId="0" fontId="6" numFmtId="165" xfId="0" applyAlignment="1" applyBorder="1" applyFont="1" applyNumberFormat="1">
      <alignment horizontal="center"/>
    </xf>
    <xf borderId="38" fillId="3" fontId="6" numFmtId="2" xfId="0" applyAlignment="1" applyBorder="1" applyFont="1" applyNumberFormat="1">
      <alignment horizontal="center"/>
    </xf>
    <xf borderId="39" fillId="3" fontId="6" numFmtId="2" xfId="0" applyAlignment="1" applyBorder="1" applyFont="1" applyNumberFormat="1">
      <alignment horizontal="center"/>
    </xf>
    <xf borderId="0" fillId="0" fontId="7" numFmtId="0" xfId="0" applyFont="1"/>
    <xf borderId="37" fillId="0" fontId="5" numFmtId="0" xfId="0" applyAlignment="1" applyBorder="1" applyFont="1">
      <alignment horizontal="center" vertical="center"/>
    </xf>
    <xf borderId="38" fillId="0" fontId="5" numFmtId="0" xfId="0" applyAlignment="1" applyBorder="1" applyFont="1">
      <alignment vertical="center"/>
    </xf>
    <xf borderId="38" fillId="0" fontId="5" numFmtId="0" xfId="0" applyAlignment="1" applyBorder="1" applyFont="1">
      <alignment horizontal="center"/>
    </xf>
    <xf borderId="38" fillId="0" fontId="6" numFmtId="0" xfId="0" applyAlignment="1" applyBorder="1" applyFont="1">
      <alignment horizontal="center" vertical="center"/>
    </xf>
    <xf borderId="11" fillId="0" fontId="5" numFmtId="0" xfId="0" applyAlignment="1" applyBorder="1" applyFont="1">
      <alignment vertical="center"/>
    </xf>
    <xf borderId="11" fillId="0" fontId="5" numFmtId="0" xfId="0" applyAlignment="1" applyBorder="1" applyFont="1">
      <alignment horizontal="center" vertical="center"/>
    </xf>
    <xf borderId="39" fillId="0" fontId="5" numFmtId="0" xfId="0" applyAlignment="1" applyBorder="1" applyFont="1">
      <alignment vertical="center"/>
    </xf>
    <xf borderId="44" fillId="0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vertical="center"/>
    </xf>
    <xf borderId="45" fillId="0" fontId="5" numFmtId="0" xfId="0" applyAlignment="1" applyBorder="1" applyFont="1">
      <alignment horizontal="center"/>
    </xf>
    <xf borderId="45" fillId="0" fontId="6" numFmtId="0" xfId="0" applyAlignment="1" applyBorder="1" applyFont="1">
      <alignment horizontal="center"/>
    </xf>
    <xf borderId="46" fillId="0" fontId="6" numFmtId="0" xfId="0" applyAlignment="1" applyBorder="1" applyFont="1">
      <alignment horizontal="center"/>
    </xf>
    <xf borderId="44" fillId="0" fontId="6" numFmtId="0" xfId="0" applyAlignment="1" applyBorder="1" applyFont="1">
      <alignment horizontal="center" vertical="center"/>
    </xf>
    <xf borderId="47" fillId="0" fontId="5" numFmtId="0" xfId="0" applyAlignment="1" applyBorder="1" applyFont="1">
      <alignment vertical="center"/>
    </xf>
    <xf borderId="45" fillId="0" fontId="5" numFmtId="0" xfId="0" applyAlignment="1" applyBorder="1" applyFont="1">
      <alignment horizontal="center" vertical="center"/>
    </xf>
    <xf borderId="47" fillId="0" fontId="5" numFmtId="0" xfId="0" applyAlignment="1" applyBorder="1" applyFont="1">
      <alignment horizontal="center" vertical="center"/>
    </xf>
    <xf borderId="46" fillId="0" fontId="5" numFmtId="0" xfId="0" applyAlignment="1" applyBorder="1" applyFont="1">
      <alignment vertical="center"/>
    </xf>
    <xf borderId="31" fillId="0" fontId="5" numFmtId="0" xfId="0" applyAlignment="1" applyBorder="1" applyFont="1">
      <alignment horizontal="center" vertical="center"/>
    </xf>
    <xf borderId="32" fillId="0" fontId="5" numFmtId="0" xfId="0" applyAlignment="1" applyBorder="1" applyFont="1">
      <alignment vertical="center"/>
    </xf>
    <xf borderId="32" fillId="0" fontId="6" numFmtId="164" xfId="0" applyAlignment="1" applyBorder="1" applyFont="1" applyNumberFormat="1">
      <alignment horizontal="center"/>
    </xf>
    <xf borderId="42" fillId="0" fontId="6" numFmtId="0" xfId="0" applyAlignment="1" applyBorder="1" applyFont="1">
      <alignment horizontal="center"/>
    </xf>
    <xf borderId="5" fillId="0" fontId="5" numFmtId="0" xfId="0" applyAlignment="1" applyBorder="1" applyFont="1">
      <alignment vertical="center"/>
    </xf>
    <xf borderId="0" fillId="0" fontId="6" numFmtId="164" xfId="0" applyAlignment="1" applyFont="1" applyNumberFormat="1">
      <alignment horizontal="center"/>
    </xf>
    <xf borderId="39" fillId="0" fontId="6" numFmtId="0" xfId="0" applyAlignment="1" applyBorder="1" applyFont="1">
      <alignment horizontal="center" vertical="center"/>
    </xf>
    <xf borderId="0" fillId="0" fontId="6" numFmtId="165" xfId="0" applyFont="1" applyNumberFormat="1"/>
    <xf borderId="38" fillId="0" fontId="5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43" fillId="0" fontId="6" numFmtId="0" xfId="0" applyBorder="1" applyFont="1"/>
    <xf borderId="45" fillId="0" fontId="5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48" fillId="0" fontId="5" numFmtId="0" xfId="0" applyAlignment="1" applyBorder="1" applyFont="1">
      <alignment horizontal="center" vertical="center"/>
    </xf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24" fillId="0" fontId="3" numFmtId="0" xfId="0" applyBorder="1" applyFont="1"/>
    <xf borderId="52" fillId="0" fontId="3" numFmtId="0" xfId="0" applyBorder="1" applyFont="1"/>
    <xf borderId="0" fillId="0" fontId="5" numFmtId="0" xfId="0" applyAlignment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33" fillId="0" fontId="3" numFmtId="0" xfId="0" applyBorder="1" applyFont="1"/>
    <xf borderId="51" fillId="0" fontId="6" numFmtId="0" xfId="0" applyBorder="1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142875</xdr:rowOff>
    </xdr:from>
    <xdr:ext cx="504825" cy="504825"/>
    <xdr:pic>
      <xdr:nvPicPr>
        <xdr:cNvPr descr="Trikaya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142875</xdr:rowOff>
    </xdr:from>
    <xdr:ext cx="3009900" cy="43529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3.14"/>
    <col customWidth="1" min="8" max="8" width="4.71"/>
    <col customWidth="1" min="9" max="9" width="26.71"/>
    <col customWidth="1" min="10" max="10" width="5.43"/>
    <col customWidth="1" min="11" max="11" width="7.43"/>
    <col customWidth="1" min="12" max="12" width="8.71"/>
    <col customWidth="1" min="13" max="13" width="7.29"/>
    <col customWidth="1" min="14" max="14" width="7.14"/>
    <col customWidth="1" min="15" max="15" width="4.71"/>
    <col customWidth="1" min="16" max="16" width="28.29"/>
    <col customWidth="1" min="17" max="17" width="8.29"/>
    <col customWidth="1" min="18" max="18" width="7.43"/>
    <col customWidth="1" min="19" max="19" width="8.57"/>
    <col customWidth="1" min="20" max="20" width="7.0"/>
    <col customWidth="1" min="21" max="21" width="9.71"/>
    <col customWidth="1" min="22" max="22" width="8.71"/>
    <col customWidth="1" min="23" max="23" width="9.57"/>
    <col customWidth="1" min="24" max="24" width="13.0"/>
    <col customWidth="1" min="25" max="26" width="8.71"/>
  </cols>
  <sheetData>
    <row r="1">
      <c r="A1" s="1" t="s">
        <v>0</v>
      </c>
      <c r="B1" s="2" t="s">
        <v>1</v>
      </c>
      <c r="C1" s="3"/>
      <c r="D1" s="4"/>
      <c r="E1" s="5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6" t="s">
        <v>2</v>
      </c>
      <c r="R1" s="7"/>
      <c r="S1" s="7"/>
      <c r="T1" s="7"/>
      <c r="U1" s="8"/>
    </row>
    <row r="2">
      <c r="A2" s="9"/>
      <c r="B2" s="10"/>
      <c r="D2" s="11"/>
      <c r="E2" s="10"/>
      <c r="Q2" s="12" t="s">
        <v>3</v>
      </c>
      <c r="R2" s="13"/>
      <c r="S2" s="13"/>
      <c r="T2" s="13"/>
      <c r="U2" s="14"/>
    </row>
    <row r="3">
      <c r="A3" s="9"/>
      <c r="B3" s="10"/>
      <c r="D3" s="11"/>
      <c r="E3" s="10"/>
      <c r="Q3" s="12" t="s">
        <v>4</v>
      </c>
      <c r="R3" s="13"/>
      <c r="S3" s="13"/>
      <c r="T3" s="13"/>
      <c r="U3" s="14"/>
    </row>
    <row r="4">
      <c r="A4" s="15"/>
      <c r="B4" s="10"/>
      <c r="D4" s="11"/>
      <c r="E4" s="10"/>
      <c r="Q4" s="16" t="s">
        <v>5</v>
      </c>
      <c r="R4" s="17"/>
      <c r="S4" s="17"/>
      <c r="T4" s="17"/>
      <c r="U4" s="18"/>
    </row>
    <row r="5" ht="17.25" customHeight="1">
      <c r="A5" s="19" t="s">
        <v>6</v>
      </c>
      <c r="B5" s="20"/>
      <c r="C5" s="20"/>
      <c r="D5" s="20"/>
      <c r="E5" s="20"/>
      <c r="F5" s="21"/>
      <c r="G5" s="22" t="s">
        <v>7</v>
      </c>
      <c r="H5" s="20"/>
      <c r="I5" s="20"/>
      <c r="J5" s="20"/>
      <c r="K5" s="20"/>
      <c r="L5" s="20"/>
      <c r="M5" s="23"/>
      <c r="N5" s="19" t="s">
        <v>8</v>
      </c>
      <c r="O5" s="20"/>
      <c r="P5" s="20"/>
      <c r="Q5" s="20"/>
      <c r="R5" s="24"/>
      <c r="S5" s="24"/>
      <c r="T5" s="24"/>
      <c r="U5" s="25"/>
    </row>
    <row r="6">
      <c r="A6" s="26" t="s">
        <v>9</v>
      </c>
      <c r="B6" s="27" t="s">
        <v>10</v>
      </c>
      <c r="C6" s="28"/>
      <c r="D6" s="7"/>
      <c r="E6" s="7"/>
      <c r="F6" s="8"/>
      <c r="G6" s="29"/>
      <c r="H6" s="27"/>
      <c r="I6" s="27"/>
      <c r="J6" s="27"/>
      <c r="K6" s="27"/>
      <c r="L6" s="27"/>
      <c r="M6" s="27"/>
      <c r="N6" s="27"/>
      <c r="O6" s="30" t="s">
        <v>11</v>
      </c>
      <c r="P6" s="31"/>
      <c r="Q6" s="32">
        <v>1.6</v>
      </c>
      <c r="R6" s="32">
        <v>1250.0</v>
      </c>
      <c r="S6" s="32">
        <v>2500.0</v>
      </c>
      <c r="T6" s="33">
        <f>Q6*R6*S6*0.786/100000</f>
        <v>39.3</v>
      </c>
      <c r="U6" s="34"/>
    </row>
    <row r="7" ht="45.75" customHeight="1">
      <c r="A7" s="35"/>
      <c r="B7" s="17"/>
      <c r="C7" s="17"/>
      <c r="D7" s="17"/>
      <c r="E7" s="17"/>
      <c r="F7" s="36"/>
      <c r="G7" s="29"/>
      <c r="H7" s="37">
        <v>1.0</v>
      </c>
      <c r="I7" s="38" t="s">
        <v>12</v>
      </c>
      <c r="J7" s="39" t="s">
        <v>13</v>
      </c>
      <c r="K7" s="7"/>
      <c r="L7" s="7"/>
      <c r="M7" s="8"/>
      <c r="N7" s="40"/>
      <c r="O7" s="41" t="s">
        <v>14</v>
      </c>
      <c r="P7" s="42"/>
      <c r="Q7" s="43" t="s">
        <v>15</v>
      </c>
      <c r="R7" s="43" t="s">
        <v>16</v>
      </c>
      <c r="S7" s="43" t="s">
        <v>17</v>
      </c>
      <c r="T7" s="43" t="s">
        <v>18</v>
      </c>
      <c r="U7" s="44" t="s">
        <v>19</v>
      </c>
    </row>
    <row r="8">
      <c r="A8" s="45"/>
      <c r="F8" s="11"/>
      <c r="G8" s="29"/>
      <c r="H8" s="46">
        <v>2.0</v>
      </c>
      <c r="I8" s="47" t="s">
        <v>20</v>
      </c>
      <c r="J8" s="48" t="s">
        <v>21</v>
      </c>
      <c r="K8" s="49">
        <v>1.6</v>
      </c>
      <c r="L8" s="48"/>
      <c r="M8" s="50"/>
      <c r="N8" s="40"/>
      <c r="O8" s="51" t="s">
        <v>22</v>
      </c>
      <c r="P8" s="52"/>
      <c r="Q8" s="53">
        <f>+K15</f>
        <v>0.73622</v>
      </c>
      <c r="R8" s="53">
        <f>+K16</f>
        <v>0.292</v>
      </c>
      <c r="S8" s="54">
        <f>+K17</f>
        <v>0.44422</v>
      </c>
      <c r="T8" s="55">
        <f>+K14</f>
        <v>48</v>
      </c>
      <c r="U8" s="56">
        <f>+T8*Q8</f>
        <v>35.33856</v>
      </c>
    </row>
    <row r="9">
      <c r="A9" s="45"/>
      <c r="F9" s="11"/>
      <c r="G9" s="29"/>
      <c r="H9" s="46">
        <v>3.0</v>
      </c>
      <c r="I9" s="47" t="s">
        <v>23</v>
      </c>
      <c r="J9" s="48" t="s">
        <v>21</v>
      </c>
      <c r="K9" s="49">
        <v>1.6</v>
      </c>
      <c r="L9" s="48">
        <v>1250.0</v>
      </c>
      <c r="M9" s="50">
        <v>2500.0</v>
      </c>
      <c r="N9" s="40"/>
      <c r="O9" s="57" t="s">
        <v>24</v>
      </c>
      <c r="P9" s="52"/>
      <c r="Q9" s="53">
        <f>+K27</f>
        <v>3.96144</v>
      </c>
      <c r="R9" s="53">
        <v>0.0</v>
      </c>
      <c r="S9" s="58" t="str">
        <f>K28</f>
        <v/>
      </c>
      <c r="T9" s="55">
        <v>1.0</v>
      </c>
      <c r="U9" s="56">
        <f>+Q9*T9</f>
        <v>3.96144</v>
      </c>
      <c r="W9" s="59"/>
    </row>
    <row r="10">
      <c r="A10" s="45"/>
      <c r="F10" s="11"/>
      <c r="G10" s="29"/>
      <c r="H10" s="46">
        <v>4.0</v>
      </c>
      <c r="I10" s="47" t="s">
        <v>25</v>
      </c>
      <c r="J10" s="48" t="s">
        <v>26</v>
      </c>
      <c r="K10" s="60">
        <f>+K11*L11*M11*0.786/100000</f>
        <v>4.41732</v>
      </c>
      <c r="L10" s="49"/>
      <c r="M10" s="61"/>
      <c r="N10" s="40"/>
      <c r="O10" s="57" t="s">
        <v>24</v>
      </c>
      <c r="P10" s="52"/>
      <c r="Q10" s="53">
        <f>R16+R26</f>
        <v>0</v>
      </c>
      <c r="R10" s="53" t="str">
        <f>R17</f>
        <v/>
      </c>
      <c r="S10" s="53" t="str">
        <f>R18</f>
        <v/>
      </c>
      <c r="T10" s="55">
        <v>1.0</v>
      </c>
      <c r="U10" s="56">
        <f>T10*Q10</f>
        <v>0</v>
      </c>
    </row>
    <row r="11">
      <c r="A11" s="45"/>
      <c r="F11" s="11"/>
      <c r="G11" s="29"/>
      <c r="H11" s="46">
        <v>5.0</v>
      </c>
      <c r="I11" s="47" t="s">
        <v>27</v>
      </c>
      <c r="J11" s="48" t="s">
        <v>21</v>
      </c>
      <c r="K11" s="48">
        <v>1.6</v>
      </c>
      <c r="L11" s="48">
        <v>1250.0</v>
      </c>
      <c r="M11" s="50">
        <v>281.0</v>
      </c>
      <c r="N11" s="40"/>
      <c r="O11" s="62"/>
      <c r="P11" s="62"/>
      <c r="Q11" s="40"/>
      <c r="R11" s="40"/>
      <c r="S11" s="40"/>
      <c r="T11" s="40"/>
      <c r="U11" s="63">
        <f>SUM(U8:U10)</f>
        <v>39.3</v>
      </c>
    </row>
    <row r="12">
      <c r="A12" s="45"/>
      <c r="F12" s="11"/>
      <c r="G12" s="29"/>
      <c r="H12" s="46">
        <v>6.0</v>
      </c>
      <c r="I12" s="47" t="s">
        <v>28</v>
      </c>
      <c r="J12" s="48" t="s">
        <v>29</v>
      </c>
      <c r="K12" s="64">
        <v>6.0</v>
      </c>
      <c r="L12" s="48"/>
      <c r="M12" s="50"/>
      <c r="N12" s="40"/>
      <c r="O12" s="65" t="s">
        <v>30</v>
      </c>
      <c r="P12" s="66" t="s">
        <v>31</v>
      </c>
      <c r="Q12" s="67" t="s">
        <v>21</v>
      </c>
      <c r="R12" s="68" t="str">
        <f t="shared" ref="R12:T12" si="1">K19</f>
        <v/>
      </c>
      <c r="S12" s="68" t="str">
        <f t="shared" si="1"/>
        <v/>
      </c>
      <c r="T12" s="69" t="str">
        <f t="shared" si="1"/>
        <v/>
      </c>
      <c r="U12" s="70"/>
    </row>
    <row r="13">
      <c r="A13" s="45"/>
      <c r="F13" s="11"/>
      <c r="G13" s="29"/>
      <c r="H13" s="46">
        <v>7.0</v>
      </c>
      <c r="I13" s="47" t="s">
        <v>32</v>
      </c>
      <c r="J13" s="48" t="s">
        <v>29</v>
      </c>
      <c r="K13" s="64">
        <v>8.0</v>
      </c>
      <c r="L13" s="48"/>
      <c r="M13" s="50"/>
      <c r="N13" s="40"/>
      <c r="O13" s="46">
        <v>1.0</v>
      </c>
      <c r="P13" s="71" t="s">
        <v>33</v>
      </c>
      <c r="Q13" s="72"/>
      <c r="R13" s="13"/>
      <c r="S13" s="13"/>
      <c r="T13" s="14"/>
      <c r="U13" s="73"/>
      <c r="W13" s="74"/>
      <c r="X13" s="75"/>
    </row>
    <row r="14">
      <c r="A14" s="45"/>
      <c r="F14" s="11"/>
      <c r="G14" s="29"/>
      <c r="H14" s="46">
        <v>8.0</v>
      </c>
      <c r="I14" s="47" t="s">
        <v>34</v>
      </c>
      <c r="J14" s="48" t="s">
        <v>29</v>
      </c>
      <c r="K14" s="76">
        <f>+K13*K12</f>
        <v>48</v>
      </c>
      <c r="L14" s="76"/>
      <c r="M14" s="77"/>
      <c r="N14" s="40"/>
      <c r="O14" s="46">
        <v>2.0</v>
      </c>
      <c r="P14" s="71" t="s">
        <v>35</v>
      </c>
      <c r="Q14" s="48" t="s">
        <v>21</v>
      </c>
      <c r="R14" s="78" t="str">
        <f t="shared" ref="R14:T14" si="2">R12</f>
        <v/>
      </c>
      <c r="S14" s="78" t="str">
        <f t="shared" si="2"/>
        <v/>
      </c>
      <c r="T14" s="50" t="str">
        <f t="shared" si="2"/>
        <v/>
      </c>
      <c r="U14" s="70"/>
      <c r="W14" s="27"/>
      <c r="X14" s="27"/>
    </row>
    <row r="15">
      <c r="A15" s="45"/>
      <c r="F15" s="11"/>
      <c r="G15" s="29"/>
      <c r="H15" s="46">
        <v>9.0</v>
      </c>
      <c r="I15" s="47" t="s">
        <v>36</v>
      </c>
      <c r="J15" s="48" t="s">
        <v>37</v>
      </c>
      <c r="K15" s="79">
        <f>+(K10/K12)</f>
        <v>0.73622</v>
      </c>
      <c r="L15" s="60"/>
      <c r="M15" s="80"/>
      <c r="N15" s="40"/>
      <c r="O15" s="46">
        <v>3.0</v>
      </c>
      <c r="P15" s="71" t="s">
        <v>38</v>
      </c>
      <c r="Q15" s="48" t="s">
        <v>29</v>
      </c>
      <c r="R15" s="78"/>
      <c r="S15" s="13"/>
      <c r="T15" s="14"/>
      <c r="U15" s="70"/>
      <c r="W15" s="81"/>
      <c r="X15" s="27"/>
    </row>
    <row r="16">
      <c r="A16" s="45"/>
      <c r="F16" s="11"/>
      <c r="G16" s="29"/>
      <c r="H16" s="46">
        <v>10.0</v>
      </c>
      <c r="I16" s="47" t="s">
        <v>39</v>
      </c>
      <c r="J16" s="48" t="s">
        <v>37</v>
      </c>
      <c r="K16" s="79">
        <v>0.292</v>
      </c>
      <c r="L16" s="48"/>
      <c r="M16" s="50"/>
      <c r="N16" s="40"/>
      <c r="O16" s="46">
        <v>4.0</v>
      </c>
      <c r="P16" s="71" t="s">
        <v>36</v>
      </c>
      <c r="Q16" s="82" t="s">
        <v>37</v>
      </c>
      <c r="R16" s="83">
        <f>+R14*S14*T14*0.786/100000</f>
        <v>0</v>
      </c>
      <c r="S16" s="13"/>
      <c r="T16" s="14"/>
      <c r="U16" s="70"/>
      <c r="W16" s="27"/>
      <c r="X16" s="27"/>
    </row>
    <row r="17">
      <c r="A17" s="45"/>
      <c r="F17" s="11"/>
      <c r="G17" s="29"/>
      <c r="H17" s="46">
        <v>11.0</v>
      </c>
      <c r="I17" s="47" t="s">
        <v>40</v>
      </c>
      <c r="J17" s="48" t="s">
        <v>37</v>
      </c>
      <c r="K17" s="84">
        <f>+K15-K16</f>
        <v>0.44422</v>
      </c>
      <c r="L17" s="84"/>
      <c r="M17" s="85"/>
      <c r="N17" s="40"/>
      <c r="O17" s="46">
        <v>5.0</v>
      </c>
      <c r="P17" s="71" t="s">
        <v>39</v>
      </c>
      <c r="Q17" s="48" t="s">
        <v>37</v>
      </c>
      <c r="R17" s="83"/>
      <c r="S17" s="13"/>
      <c r="T17" s="14"/>
      <c r="U17" s="70"/>
      <c r="V17" s="86" t="s">
        <v>0</v>
      </c>
      <c r="W17" s="27"/>
      <c r="X17" s="27"/>
    </row>
    <row r="18">
      <c r="A18" s="45"/>
      <c r="F18" s="11"/>
      <c r="G18" s="29"/>
      <c r="H18" s="87" t="s">
        <v>41</v>
      </c>
      <c r="I18" s="88" t="s">
        <v>42</v>
      </c>
      <c r="J18" s="89" t="s">
        <v>21</v>
      </c>
      <c r="K18" s="49">
        <f>+K8</f>
        <v>1.6</v>
      </c>
      <c r="L18" s="48">
        <v>252.0</v>
      </c>
      <c r="M18" s="50">
        <v>1250.0</v>
      </c>
      <c r="N18" s="40"/>
      <c r="O18" s="46">
        <v>6.0</v>
      </c>
      <c r="P18" s="71" t="s">
        <v>40</v>
      </c>
      <c r="Q18" s="48" t="s">
        <v>37</v>
      </c>
      <c r="R18" s="83"/>
      <c r="S18" s="13"/>
      <c r="T18" s="14"/>
      <c r="U18" s="70"/>
      <c r="W18" s="27"/>
      <c r="X18" s="27"/>
    </row>
    <row r="19">
      <c r="A19" s="45"/>
      <c r="F19" s="11"/>
      <c r="G19" s="29"/>
      <c r="H19" s="87" t="s">
        <v>30</v>
      </c>
      <c r="I19" s="88" t="s">
        <v>31</v>
      </c>
      <c r="J19" s="89" t="s">
        <v>21</v>
      </c>
      <c r="K19" s="48"/>
      <c r="L19" s="90"/>
      <c r="M19" s="50"/>
      <c r="N19" s="40"/>
      <c r="O19" s="46">
        <v>7.0</v>
      </c>
      <c r="P19" s="91" t="s">
        <v>43</v>
      </c>
      <c r="Q19" s="55" t="s">
        <v>21</v>
      </c>
      <c r="R19" s="92"/>
      <c r="S19" s="92"/>
      <c r="T19" s="93"/>
      <c r="U19" s="70"/>
      <c r="W19" s="27"/>
      <c r="X19" s="27"/>
    </row>
    <row r="20">
      <c r="A20" s="45"/>
      <c r="F20" s="11"/>
      <c r="G20" s="29"/>
      <c r="H20" s="94" t="s">
        <v>44</v>
      </c>
      <c r="I20" s="95" t="s">
        <v>45</v>
      </c>
      <c r="J20" s="96" t="s">
        <v>21</v>
      </c>
      <c r="K20" s="48"/>
      <c r="L20" s="97"/>
      <c r="M20" s="98"/>
      <c r="N20" s="40"/>
      <c r="O20" s="99">
        <v>8.0</v>
      </c>
      <c r="P20" s="100" t="s">
        <v>46</v>
      </c>
      <c r="Q20" s="101" t="s">
        <v>21</v>
      </c>
      <c r="R20" s="102"/>
      <c r="S20" s="102"/>
      <c r="T20" s="103"/>
      <c r="U20" s="70"/>
      <c r="W20" s="27"/>
      <c r="X20" s="27"/>
    </row>
    <row r="21" ht="15.75" customHeight="1">
      <c r="A21" s="45"/>
      <c r="F21" s="11"/>
      <c r="G21" s="29"/>
      <c r="H21" s="62"/>
      <c r="I21" s="40"/>
      <c r="J21" s="40"/>
      <c r="K21" s="40"/>
      <c r="L21" s="40"/>
      <c r="M21" s="40"/>
      <c r="N21" s="40"/>
      <c r="O21" s="27"/>
      <c r="P21" s="27"/>
      <c r="Q21" s="27"/>
      <c r="R21" s="27"/>
      <c r="S21" s="27"/>
      <c r="T21" s="27"/>
      <c r="U21" s="70"/>
      <c r="W21" s="27"/>
      <c r="X21" s="27"/>
    </row>
    <row r="22" ht="15.75" customHeight="1">
      <c r="A22" s="45"/>
      <c r="F22" s="11"/>
      <c r="G22" s="29"/>
      <c r="H22" s="104" t="s">
        <v>41</v>
      </c>
      <c r="I22" s="105" t="s">
        <v>47</v>
      </c>
      <c r="J22" s="67" t="s">
        <v>21</v>
      </c>
      <c r="K22" s="106">
        <f t="shared" ref="K22:M22" si="3">+K18</f>
        <v>1.6</v>
      </c>
      <c r="L22" s="67">
        <f t="shared" si="3"/>
        <v>252</v>
      </c>
      <c r="M22" s="107">
        <f t="shared" si="3"/>
        <v>1250</v>
      </c>
      <c r="N22" s="40"/>
      <c r="O22" s="104" t="s">
        <v>44</v>
      </c>
      <c r="P22" s="108" t="s">
        <v>45</v>
      </c>
      <c r="Q22" s="67" t="s">
        <v>21</v>
      </c>
      <c r="R22" s="67" t="str">
        <f t="shared" ref="R22:T22" si="4">K20</f>
        <v/>
      </c>
      <c r="S22" s="67" t="str">
        <f t="shared" si="4"/>
        <v/>
      </c>
      <c r="T22" s="67" t="str">
        <f t="shared" si="4"/>
        <v/>
      </c>
      <c r="U22" s="70"/>
      <c r="W22" s="109"/>
      <c r="X22" s="27"/>
    </row>
    <row r="23" ht="15.75" customHeight="1">
      <c r="A23" s="45"/>
      <c r="F23" s="11"/>
      <c r="G23" s="29"/>
      <c r="H23" s="46">
        <v>1.0</v>
      </c>
      <c r="I23" s="47" t="s">
        <v>33</v>
      </c>
      <c r="J23" s="78"/>
      <c r="K23" s="13"/>
      <c r="L23" s="13"/>
      <c r="M23" s="14"/>
      <c r="N23" s="40"/>
      <c r="O23" s="46">
        <v>1.0</v>
      </c>
      <c r="P23" s="71" t="s">
        <v>33</v>
      </c>
      <c r="Q23" s="78"/>
      <c r="R23" s="13"/>
      <c r="S23" s="13"/>
      <c r="T23" s="14"/>
      <c r="U23" s="70"/>
      <c r="W23" s="27"/>
      <c r="X23" s="27"/>
    </row>
    <row r="24" ht="15.75" customHeight="1">
      <c r="A24" s="45"/>
      <c r="F24" s="11"/>
      <c r="G24" s="29"/>
      <c r="H24" s="46">
        <v>2.0</v>
      </c>
      <c r="I24" s="47" t="s">
        <v>35</v>
      </c>
      <c r="J24" s="48" t="s">
        <v>21</v>
      </c>
      <c r="K24" s="49">
        <f t="shared" ref="K24:M24" si="5">+K22</f>
        <v>1.6</v>
      </c>
      <c r="L24" s="48">
        <f t="shared" si="5"/>
        <v>252</v>
      </c>
      <c r="M24" s="50">
        <f t="shared" si="5"/>
        <v>1250</v>
      </c>
      <c r="N24" s="40"/>
      <c r="O24" s="46">
        <v>2.0</v>
      </c>
      <c r="P24" s="71" t="s">
        <v>35</v>
      </c>
      <c r="Q24" s="48" t="s">
        <v>21</v>
      </c>
      <c r="R24" s="78" t="str">
        <f t="shared" ref="R24:T24" si="6">+R22</f>
        <v/>
      </c>
      <c r="S24" s="78" t="str">
        <f t="shared" si="6"/>
        <v/>
      </c>
      <c r="T24" s="110" t="str">
        <f t="shared" si="6"/>
        <v/>
      </c>
      <c r="U24" s="70"/>
      <c r="W24" s="27"/>
      <c r="X24" s="27"/>
    </row>
    <row r="25" ht="15.75" customHeight="1">
      <c r="A25" s="45"/>
      <c r="F25" s="11"/>
      <c r="G25" s="29"/>
      <c r="H25" s="46">
        <v>3.0</v>
      </c>
      <c r="I25" s="47" t="s">
        <v>28</v>
      </c>
      <c r="J25" s="48" t="s">
        <v>29</v>
      </c>
      <c r="K25" s="48"/>
      <c r="L25" s="48"/>
      <c r="M25" s="50"/>
      <c r="N25" s="40"/>
      <c r="O25" s="46">
        <v>3.0</v>
      </c>
      <c r="P25" s="71" t="s">
        <v>28</v>
      </c>
      <c r="Q25" s="48" t="s">
        <v>29</v>
      </c>
      <c r="R25" s="78"/>
      <c r="S25" s="13"/>
      <c r="T25" s="14"/>
      <c r="U25" s="70"/>
      <c r="W25" s="27"/>
      <c r="X25" s="27"/>
    </row>
    <row r="26" ht="15.75" customHeight="1">
      <c r="A26" s="45"/>
      <c r="F26" s="11"/>
      <c r="G26" s="29"/>
      <c r="H26" s="46">
        <v>4.0</v>
      </c>
      <c r="I26" s="47" t="s">
        <v>36</v>
      </c>
      <c r="J26" s="48" t="s">
        <v>29</v>
      </c>
      <c r="K26" s="79"/>
      <c r="L26" s="48"/>
      <c r="M26" s="50"/>
      <c r="N26" s="40"/>
      <c r="O26" s="46">
        <v>4.0</v>
      </c>
      <c r="P26" s="71" t="s">
        <v>36</v>
      </c>
      <c r="Q26" s="48" t="s">
        <v>37</v>
      </c>
      <c r="R26" s="83">
        <f>+R24*S24*T24*0.786/100000</f>
        <v>0</v>
      </c>
      <c r="S26" s="13"/>
      <c r="T26" s="14"/>
      <c r="U26" s="70"/>
      <c r="W26" s="27"/>
      <c r="X26" s="27"/>
    </row>
    <row r="27" ht="15.75" customHeight="1">
      <c r="A27" s="45"/>
      <c r="F27" s="11"/>
      <c r="G27" s="29"/>
      <c r="H27" s="46">
        <v>5.0</v>
      </c>
      <c r="I27" s="47" t="s">
        <v>39</v>
      </c>
      <c r="J27" s="48" t="s">
        <v>37</v>
      </c>
      <c r="K27" s="83">
        <f>+K24*L24*M24*0.786/100000</f>
        <v>3.96144</v>
      </c>
      <c r="L27" s="13"/>
      <c r="M27" s="14"/>
      <c r="N27" s="40"/>
      <c r="O27" s="46">
        <v>5.0</v>
      </c>
      <c r="P27" s="71" t="s">
        <v>39</v>
      </c>
      <c r="Q27" s="48" t="s">
        <v>37</v>
      </c>
      <c r="R27" s="78"/>
      <c r="S27" s="13"/>
      <c r="T27" s="14"/>
      <c r="U27" s="70"/>
      <c r="W27" s="27"/>
      <c r="X27" s="27"/>
      <c r="Z27" s="111"/>
    </row>
    <row r="28" ht="15.75" customHeight="1">
      <c r="A28" s="45"/>
      <c r="F28" s="11"/>
      <c r="G28" s="29"/>
      <c r="H28" s="46">
        <v>6.0</v>
      </c>
      <c r="I28" s="47" t="s">
        <v>40</v>
      </c>
      <c r="J28" s="48" t="s">
        <v>37</v>
      </c>
      <c r="K28" s="83"/>
      <c r="L28" s="13"/>
      <c r="M28" s="14"/>
      <c r="N28" s="40"/>
      <c r="O28" s="46">
        <v>6.0</v>
      </c>
      <c r="P28" s="71" t="s">
        <v>40</v>
      </c>
      <c r="Q28" s="48" t="s">
        <v>37</v>
      </c>
      <c r="R28" s="78"/>
      <c r="S28" s="13"/>
      <c r="T28" s="14"/>
      <c r="U28" s="70"/>
      <c r="W28" s="27"/>
      <c r="X28" s="27"/>
    </row>
    <row r="29" ht="15.75" customHeight="1">
      <c r="A29" s="45"/>
      <c r="F29" s="11"/>
      <c r="G29" s="29"/>
      <c r="H29" s="46">
        <v>7.0</v>
      </c>
      <c r="I29" s="112" t="s">
        <v>48</v>
      </c>
      <c r="J29" s="55" t="s">
        <v>21</v>
      </c>
      <c r="K29" s="92"/>
      <c r="L29" s="92"/>
      <c r="M29" s="93"/>
      <c r="N29" s="113"/>
      <c r="O29" s="46">
        <v>7.0</v>
      </c>
      <c r="P29" s="91" t="s">
        <v>49</v>
      </c>
      <c r="Q29" s="55" t="s">
        <v>21</v>
      </c>
      <c r="R29" s="92"/>
      <c r="S29" s="92"/>
      <c r="T29" s="93"/>
      <c r="U29" s="114"/>
    </row>
    <row r="30" ht="15.75" customHeight="1">
      <c r="A30" s="45"/>
      <c r="F30" s="11"/>
      <c r="G30" s="29"/>
      <c r="H30" s="99">
        <v>8.0</v>
      </c>
      <c r="I30" s="115" t="s">
        <v>50</v>
      </c>
      <c r="J30" s="101" t="s">
        <v>21</v>
      </c>
      <c r="K30" s="102"/>
      <c r="L30" s="102"/>
      <c r="M30" s="103"/>
      <c r="N30" s="113"/>
      <c r="O30" s="99">
        <v>8.0</v>
      </c>
      <c r="P30" s="100" t="s">
        <v>51</v>
      </c>
      <c r="Q30" s="101" t="s">
        <v>21</v>
      </c>
      <c r="R30" s="102"/>
      <c r="S30" s="102"/>
      <c r="T30" s="103"/>
      <c r="U30" s="114"/>
    </row>
    <row r="31" ht="15.75" customHeight="1">
      <c r="A31" s="45"/>
      <c r="F31" s="11"/>
      <c r="G31" s="29"/>
      <c r="H31" s="62"/>
      <c r="I31" s="116"/>
      <c r="J31" s="116"/>
      <c r="K31" s="116"/>
      <c r="L31" s="116"/>
      <c r="M31" s="116"/>
      <c r="N31" s="116"/>
      <c r="O31" s="116"/>
      <c r="P31" s="116"/>
      <c r="Q31" s="27"/>
      <c r="R31" s="27"/>
      <c r="S31" s="27"/>
      <c r="T31" s="27"/>
      <c r="U31" s="114"/>
    </row>
    <row r="32" ht="15.75" customHeight="1">
      <c r="A32" s="45"/>
      <c r="F32" s="11"/>
      <c r="G32" s="29"/>
      <c r="H32" s="117" t="s">
        <v>52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118"/>
      <c r="U32" s="114"/>
    </row>
    <row r="33" ht="15.75" customHeight="1">
      <c r="A33" s="119"/>
      <c r="B33" s="120"/>
      <c r="C33" s="120"/>
      <c r="D33" s="120"/>
      <c r="E33" s="120"/>
      <c r="F33" s="42"/>
      <c r="G33" s="29"/>
      <c r="H33" s="121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34"/>
      <c r="U33" s="114"/>
    </row>
    <row r="34" ht="15.75" customHeight="1">
      <c r="A34" s="26"/>
      <c r="B34" s="27"/>
      <c r="C34" s="27"/>
      <c r="D34" s="27"/>
      <c r="E34" s="27"/>
      <c r="F34" s="27"/>
      <c r="G34" s="29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14"/>
    </row>
    <row r="35" ht="15.75" customHeight="1">
      <c r="A35" s="26"/>
      <c r="B35" s="113" t="s">
        <v>53</v>
      </c>
      <c r="C35" s="123"/>
      <c r="U35" s="114"/>
    </row>
    <row r="36" ht="15.75" customHeight="1">
      <c r="A36" s="26"/>
      <c r="B36" s="113"/>
      <c r="C36" s="113"/>
      <c r="D36" s="113"/>
      <c r="E36" s="27"/>
      <c r="F36" s="27"/>
      <c r="G36" s="29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14"/>
    </row>
    <row r="37" ht="15.7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114"/>
    </row>
    <row r="38" ht="19.5" customHeight="1">
      <c r="A38" s="124" t="s">
        <v>54</v>
      </c>
      <c r="D38" s="27"/>
      <c r="E38" s="27"/>
      <c r="F38" s="125" t="s">
        <v>55</v>
      </c>
      <c r="J38" s="27"/>
      <c r="K38" s="125" t="s">
        <v>56</v>
      </c>
      <c r="N38" s="27"/>
      <c r="O38" s="27"/>
      <c r="P38" s="125" t="s">
        <v>57</v>
      </c>
      <c r="Q38" s="27"/>
      <c r="R38" s="125" t="s">
        <v>58</v>
      </c>
      <c r="U38" s="11"/>
    </row>
    <row r="39" ht="19.5" customHeight="1">
      <c r="A39" s="10"/>
      <c r="D39" s="27"/>
      <c r="E39" s="27"/>
      <c r="J39" s="27"/>
      <c r="N39" s="27"/>
      <c r="O39" s="27"/>
      <c r="Q39" s="27"/>
      <c r="U39" s="11"/>
    </row>
    <row r="40" ht="19.5" customHeight="1">
      <c r="A40" s="126"/>
      <c r="B40" s="120"/>
      <c r="C40" s="120"/>
      <c r="D40" s="127"/>
      <c r="E40" s="127"/>
      <c r="F40" s="120"/>
      <c r="G40" s="120"/>
      <c r="H40" s="120"/>
      <c r="I40" s="120"/>
      <c r="J40" s="127"/>
      <c r="K40" s="120"/>
      <c r="L40" s="120"/>
      <c r="M40" s="120"/>
      <c r="N40" s="127"/>
      <c r="O40" s="127"/>
      <c r="P40" s="120"/>
      <c r="Q40" s="127"/>
      <c r="R40" s="120"/>
      <c r="S40" s="120"/>
      <c r="T40" s="120"/>
      <c r="U40" s="42"/>
    </row>
    <row r="41" ht="15.75" customHeight="1">
      <c r="A41" s="12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O10:P10"/>
    <mergeCell ref="Q13:T13"/>
    <mergeCell ref="K27:M27"/>
    <mergeCell ref="R27:T27"/>
    <mergeCell ref="K28:M28"/>
    <mergeCell ref="R28:T28"/>
    <mergeCell ref="H32:T33"/>
    <mergeCell ref="C35:T35"/>
    <mergeCell ref="A38:C40"/>
    <mergeCell ref="F38:I40"/>
    <mergeCell ref="K38:M40"/>
    <mergeCell ref="P38:P40"/>
    <mergeCell ref="R38:U40"/>
    <mergeCell ref="A41:U42"/>
    <mergeCell ref="A5:F5"/>
    <mergeCell ref="G5:M5"/>
    <mergeCell ref="N5:Q5"/>
    <mergeCell ref="C6:F6"/>
    <mergeCell ref="T6:U6"/>
    <mergeCell ref="A7:F33"/>
    <mergeCell ref="J7:M7"/>
    <mergeCell ref="A1:A4"/>
    <mergeCell ref="B1:D4"/>
    <mergeCell ref="E1:P4"/>
    <mergeCell ref="Q1:U1"/>
    <mergeCell ref="Q2:U2"/>
    <mergeCell ref="Q3:U3"/>
    <mergeCell ref="Q4:U4"/>
    <mergeCell ref="O6:P6"/>
    <mergeCell ref="O7:P7"/>
    <mergeCell ref="O8:P8"/>
    <mergeCell ref="O9:P9"/>
    <mergeCell ref="R15:T15"/>
    <mergeCell ref="R16:T16"/>
    <mergeCell ref="R17:T17"/>
    <mergeCell ref="R18:T18"/>
    <mergeCell ref="J23:M23"/>
    <mergeCell ref="Q23:T23"/>
    <mergeCell ref="R25:T25"/>
    <mergeCell ref="R26:T26"/>
  </mergeCells>
  <printOptions horizontalCentered="1" verticalCentered="1"/>
  <pageMargins bottom="0.0" footer="0.0" header="0.0" left="0.0" right="0.0" top="0.393700787401575"/>
  <pageSetup paperSize="9" scale="74" orientation="landscape"/>
  <drawing r:id="rId1"/>
</worksheet>
</file>